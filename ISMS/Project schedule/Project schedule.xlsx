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OneDrive\Documents\ISMS\Project schedule\"/>
    </mc:Choice>
  </mc:AlternateContent>
  <bookViews>
    <workbookView xWindow="0" yWindow="0" windowWidth="11496" windowHeight="5928"/>
  </bookViews>
  <sheets>
    <sheet name="ProjectSchedule" sheetId="2"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2" l="1"/>
  <c r="E9" i="2" s="1"/>
  <c r="H7" i="2"/>
  <c r="H8" i="2"/>
  <c r="H14" i="2"/>
  <c r="H20" i="2"/>
  <c r="H26" i="2"/>
  <c r="H27" i="2"/>
  <c r="H28" i="2"/>
  <c r="H29" i="2"/>
  <c r="H30" i="2"/>
  <c r="H31" i="2"/>
  <c r="H32" i="2"/>
  <c r="H33" i="2"/>
  <c r="F9" i="2" l="1"/>
  <c r="E10" i="2" s="1"/>
  <c r="E21" i="2"/>
  <c r="I5" i="2"/>
  <c r="H9" i="2" l="1"/>
  <c r="I4" i="2"/>
  <c r="I6" i="2"/>
  <c r="J5" i="2"/>
  <c r="F21" i="2"/>
  <c r="E22" i="2" s="1"/>
  <c r="F10" i="2"/>
  <c r="E11" i="2" s="1"/>
  <c r="E13" i="2"/>
  <c r="H10" i="2" l="1"/>
  <c r="F13" i="2"/>
  <c r="H13" i="2" s="1"/>
  <c r="E15" i="2"/>
  <c r="F11" i="2"/>
  <c r="E12" i="2" s="1"/>
  <c r="E23" i="2"/>
  <c r="F22" i="2"/>
  <c r="H22" i="2" s="1"/>
  <c r="H21" i="2"/>
  <c r="J6" i="2"/>
  <c r="K5" i="2"/>
  <c r="H11" i="2" l="1"/>
  <c r="K6" i="2"/>
  <c r="L5" i="2"/>
  <c r="F23" i="2"/>
  <c r="E24" i="2" s="1"/>
  <c r="E25" i="2"/>
  <c r="F12" i="2"/>
  <c r="H12" i="2" s="1"/>
  <c r="F15" i="2"/>
  <c r="H15" i="2" s="1"/>
  <c r="E16" i="2"/>
  <c r="H23" i="2" l="1"/>
  <c r="F16" i="2"/>
  <c r="E17" i="2" s="1"/>
  <c r="F25" i="2"/>
  <c r="H25" i="2" s="1"/>
  <c r="F24" i="2"/>
  <c r="H24" i="2" s="1"/>
  <c r="L6" i="2"/>
  <c r="M5" i="2"/>
  <c r="H16" i="2" l="1"/>
  <c r="N5" i="2"/>
  <c r="M6" i="2"/>
  <c r="E18" i="2"/>
  <c r="F17" i="2"/>
  <c r="H17" i="2" s="1"/>
  <c r="F18" i="2" l="1"/>
  <c r="H18" i="2" s="1"/>
  <c r="E19" i="2"/>
  <c r="O5" i="2"/>
  <c r="N6" i="2"/>
  <c r="P5" i="2" l="1"/>
  <c r="O6" i="2"/>
  <c r="F19" i="2"/>
  <c r="H19" i="2" s="1"/>
  <c r="P4" i="2" l="1"/>
  <c r="Q5" i="2"/>
  <c r="P6" i="2"/>
  <c r="R5" i="2" l="1"/>
  <c r="Q6" i="2"/>
  <c r="R6" i="2" l="1"/>
  <c r="S5" i="2"/>
  <c r="S6" i="2" l="1"/>
  <c r="T5" i="2"/>
  <c r="T6" i="2" l="1"/>
  <c r="U5" i="2"/>
  <c r="U6" i="2" l="1"/>
  <c r="V5" i="2"/>
  <c r="V6" i="2" l="1"/>
  <c r="W5" i="2"/>
  <c r="W6" i="2" l="1"/>
  <c r="W4" i="2"/>
  <c r="X5" i="2"/>
  <c r="Y5" i="2" l="1"/>
  <c r="X6" i="2"/>
  <c r="Z5" i="2" l="1"/>
  <c r="Y6" i="2"/>
  <c r="AA5" i="2" l="1"/>
  <c r="Z6" i="2"/>
  <c r="AB5" i="2" l="1"/>
  <c r="AA6" i="2"/>
  <c r="AC5" i="2" l="1"/>
  <c r="AB6" i="2"/>
  <c r="AD5" i="2" l="1"/>
  <c r="AC6" i="2"/>
  <c r="AD4" i="2" l="1"/>
  <c r="AD6" i="2"/>
  <c r="AE5" i="2"/>
  <c r="AE6" i="2" l="1"/>
  <c r="AF5" i="2"/>
  <c r="AF6" i="2" l="1"/>
  <c r="AG5" i="2"/>
  <c r="AG6" i="2" l="1"/>
  <c r="AH5" i="2"/>
  <c r="AH6" i="2" l="1"/>
  <c r="AI5" i="2"/>
  <c r="AI6" i="2" l="1"/>
  <c r="AJ5" i="2"/>
  <c r="AK5" i="2" l="1"/>
  <c r="AJ6" i="2"/>
  <c r="AL5" i="2" l="1"/>
  <c r="AK4" i="2"/>
  <c r="AK6" i="2"/>
  <c r="AM5" i="2" l="1"/>
  <c r="AL6" i="2"/>
  <c r="AN5" i="2" l="1"/>
  <c r="AM6" i="2"/>
  <c r="AO5" i="2" l="1"/>
  <c r="AN6" i="2"/>
  <c r="AP5" i="2" l="1"/>
  <c r="AO6" i="2"/>
  <c r="AP6" i="2" l="1"/>
  <c r="AQ5" i="2"/>
  <c r="AQ6" i="2" l="1"/>
  <c r="AR5" i="2"/>
  <c r="AR6" i="2" l="1"/>
  <c r="AR4" i="2"/>
  <c r="AS5" i="2"/>
  <c r="AS6" i="2" l="1"/>
  <c r="AT5" i="2"/>
  <c r="AT6" i="2" l="1"/>
  <c r="AU5" i="2"/>
  <c r="AU6" i="2" l="1"/>
  <c r="AV5" i="2"/>
  <c r="AW5" i="2" l="1"/>
  <c r="AV6" i="2"/>
  <c r="AX5" i="2" l="1"/>
  <c r="AW6" i="2"/>
  <c r="AY5" i="2" l="1"/>
  <c r="AX6" i="2"/>
  <c r="AZ5" i="2" l="1"/>
  <c r="AY4" i="2"/>
  <c r="AY6" i="2"/>
  <c r="BA5" i="2" l="1"/>
  <c r="AZ6" i="2"/>
  <c r="BB5" i="2" l="1"/>
  <c r="BA6" i="2"/>
  <c r="BB6" i="2" l="1"/>
  <c r="BC5" i="2"/>
  <c r="BC6" i="2" l="1"/>
  <c r="BD5" i="2"/>
  <c r="BD6" i="2" l="1"/>
  <c r="BE5" i="2"/>
  <c r="BE6" i="2" l="1"/>
  <c r="BF5" i="2"/>
  <c r="BF6" i="2" l="1"/>
  <c r="BF4" i="2"/>
  <c r="BG5" i="2"/>
  <c r="BG6" i="2" l="1"/>
  <c r="BH5" i="2"/>
  <c r="BI5" i="2" l="1"/>
  <c r="BH6" i="2"/>
  <c r="BJ5" i="2" l="1"/>
  <c r="BI6" i="2"/>
  <c r="BK5" i="2" l="1"/>
  <c r="BJ6" i="2"/>
  <c r="BL5" i="2" l="1"/>
  <c r="BL6" i="2" s="1"/>
  <c r="BK6" i="2"/>
</calcChain>
</file>

<file path=xl/sharedStrings.xml><?xml version="1.0" encoding="utf-8"?>
<sst xmlns="http://schemas.openxmlformats.org/spreadsheetml/2006/main" count="63" uniqueCount="44">
  <si>
    <t>Insert new rows ABOVE this one</t>
  </si>
  <si>
    <t>This row marks the end of the Project Schedule. DO NOT enter anything in this row. 
Insert new rows ABOVE this one to continue building out your Project Schedule.</t>
  </si>
  <si>
    <t>This is an empty row</t>
  </si>
  <si>
    <t>date</t>
  </si>
  <si>
    <t>Task 5</t>
  </si>
  <si>
    <t>Task 4</t>
  </si>
  <si>
    <t>Task 3</t>
  </si>
  <si>
    <t>Task 2</t>
  </si>
  <si>
    <t>Task 1</t>
  </si>
  <si>
    <t>Phase 4 Title</t>
  </si>
  <si>
    <t>Sample phase title block</t>
  </si>
  <si>
    <t>Phase 3 Title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</si>
  <si>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</si>
  <si>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</si>
  <si>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Name</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</si>
  <si>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</si>
  <si>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</si>
  <si>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Do not delete this row. This row is hidden to preserve a formula that is used to highlight the curren day within the project schedule. </t>
  </si>
  <si>
    <t>DAYS</t>
  </si>
  <si>
    <t>END</t>
  </si>
  <si>
    <t>START</t>
  </si>
  <si>
    <t>PROGRESS</t>
  </si>
  <si>
    <t>ASSIGNED
TO</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</si>
  <si>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</si>
  <si>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</si>
  <si>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Display Week:</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</si>
  <si>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</si>
  <si>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Project Start:</t>
  </si>
  <si>
    <t>Project Lead</t>
  </si>
  <si>
    <t>Enter the name of the Project Lead in cell B3. Enter the Project Start date in cell E3. Pooject Start: label is in cell C3.</t>
  </si>
  <si>
    <t>https://www.vertex42.com/ExcelTemplates/simple-gantt-chart.html</t>
  </si>
  <si>
    <t>Company Name</t>
  </si>
  <si>
    <t>Enter Company Name in cell B2.</t>
  </si>
  <si>
    <t>SIMPLE GANTT CHART by Vertex42.com</t>
  </si>
  <si>
    <t>ISMS Project Implementation</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</si>
  <si>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</si>
  <si>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Project Introduction</t>
  </si>
  <si>
    <t>Task Title</t>
  </si>
  <si>
    <t>Initiate ISMS project</t>
  </si>
  <si>
    <t>Conduct management awareness session</t>
  </si>
  <si>
    <t>Secure management support/consultant</t>
  </si>
  <si>
    <t>Execution</t>
  </si>
  <si>
    <t>Select Risk assessment methods</t>
  </si>
  <si>
    <t>Define the context and scope of the ISMS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</si>
</sst>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d/yy;@"/>
    <numFmt numFmtId="165" formatCode="d"/>
    <numFmt numFmtId="166" formatCode="mmm\ d\,\ yyyy"/>
    <numFmt numFmtId="167" formatCode="ddd\,\ m/d/yyyy"/>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indexed="12"/>
      <name val="Arial"/>
      <family val="2"/>
    </font>
    <font>
      <sz val="10"/>
      <color theme="1" tint="0.499984740745262"/>
      <name val="Arial"/>
      <family val="2"/>
    </font>
    <font>
      <b/>
      <sz val="11"/>
      <color theme="1" tint="0.499984740745262"/>
      <name val="Calibri"/>
      <family val="2"/>
      <scheme val="minor"/>
    </font>
    <font>
      <sz val="11"/>
      <name val="Calibri"/>
      <family val="2"/>
      <scheme val="minor"/>
    </font>
    <font>
      <sz val="10"/>
      <color theme="1" tint="0.499984740745262"/>
      <name val="Calibri"/>
      <family val="2"/>
      <scheme val="minor"/>
    </font>
    <font>
      <i/>
      <sz val="9"/>
      <color theme="1"/>
      <name val="Calibri"/>
      <family val="2"/>
      <scheme val="minor"/>
    </font>
    <font>
      <sz val="8"/>
      <color theme="0"/>
      <name val="Calibri"/>
      <family val="2"/>
      <scheme val="minor"/>
    </font>
    <font>
      <b/>
      <sz val="9"/>
      <color theme="0"/>
      <name val="Calibri"/>
      <family val="2"/>
      <scheme val="minor"/>
    </font>
    <font>
      <sz val="9"/>
      <name val="Calibri"/>
      <family val="2"/>
      <scheme val="minor"/>
    </font>
    <font>
      <sz val="14"/>
      <color theme="1"/>
      <name val="Calibri"/>
      <family val="2"/>
      <scheme val="minor"/>
    </font>
    <font>
      <sz val="10"/>
      <name val="Calibri"/>
      <family val="2"/>
      <scheme val="minor"/>
    </font>
    <font>
      <b/>
      <sz val="20"/>
      <color theme="4" tint="-0.249977111117893"/>
      <name val="Calibri Light"/>
      <family val="2"/>
      <scheme val="major"/>
    </font>
    <font>
      <b/>
      <sz val="22"/>
      <color theme="1" tint="0.34998626667073579"/>
      <name val="Calibri Light"/>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0" tint="-0.14999847407452621"/>
        <bgColor indexed="64"/>
      </patternFill>
    </fill>
  </fills>
  <borders count="11">
    <border>
      <left/>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bottom style="medium">
        <color theme="0" tint="-0.14996795556505021"/>
      </bottom>
      <diagonal/>
    </border>
    <border>
      <left/>
      <right/>
      <top style="thin">
        <color theme="0" tint="-0.34998626667073579"/>
      </top>
      <bottom/>
      <diagonal/>
    </border>
    <border>
      <left/>
      <right style="thin">
        <color theme="0" tint="-0.34998626667073579"/>
      </right>
      <top/>
      <bottom/>
      <diagonal/>
    </border>
    <border>
      <left style="thin">
        <color theme="0" tint="-0.34998626667073579"/>
      </left>
      <right/>
      <top/>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9" fontId="1" fillId="0" borderId="0" applyFont="0" applyFill="0" applyBorder="0" applyAlignment="0" applyProtection="0"/>
    <xf numFmtId="0" fontId="3" fillId="0" borderId="0"/>
    <xf numFmtId="0" fontId="4" fillId="0" borderId="0" applyNumberFormat="0" applyFill="0" applyBorder="0" applyAlignment="0" applyProtection="0">
      <alignment vertical="top"/>
      <protection locked="0"/>
    </xf>
    <xf numFmtId="164"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1" fillId="0" borderId="0" applyNumberFormat="0" applyFill="0" applyProtection="0">
      <alignment horizontal="right" indent="1"/>
    </xf>
    <xf numFmtId="167" fontId="1" fillId="0" borderId="10">
      <alignment horizontal="center" vertical="center"/>
    </xf>
    <xf numFmtId="0" fontId="13" fillId="0" borderId="0" applyNumberFormat="0" applyFill="0" applyProtection="0">
      <alignment vertical="top"/>
    </xf>
    <xf numFmtId="0" fontId="13" fillId="0" borderId="0" applyNumberFormat="0" applyFill="0" applyAlignment="0" applyProtection="0"/>
    <xf numFmtId="0" fontId="16" fillId="0" borderId="0" applyNumberFormat="0" applyFill="0" applyBorder="0" applyAlignment="0" applyProtection="0"/>
  </cellStyleXfs>
  <cellXfs count="82">
    <xf numFmtId="0" fontId="0" fillId="0" borderId="0" xfId="0"/>
    <xf numFmtId="0" fontId="0" fillId="0" borderId="0" xfId="0" applyAlignment="1">
      <alignment horizontal="center"/>
    </xf>
    <xf numFmtId="0" fontId="3" fillId="0" borderId="0" xfId="2"/>
    <xf numFmtId="0" fontId="5" fillId="0" borderId="0" xfId="3" applyFont="1" applyAlignment="1" applyProtection="1"/>
    <xf numFmtId="0" fontId="3" fillId="0" borderId="0" xfId="0" applyFont="1" applyAlignment="1">
      <alignment horizontal="center"/>
    </xf>
    <xf numFmtId="0" fontId="6" fillId="0" borderId="0" xfId="0" applyFont="1"/>
    <xf numFmtId="0" fontId="0" fillId="0" borderId="0" xfId="0" applyAlignment="1">
      <alignment horizontal="right" vertical="center"/>
    </xf>
    <xf numFmtId="0" fontId="0" fillId="0" borderId="0" xfId="0" applyAlignment="1">
      <alignment vertical="center"/>
    </xf>
    <xf numFmtId="0" fontId="0" fillId="2" borderId="1" xfId="0" applyFill="1" applyBorder="1" applyAlignment="1">
      <alignment vertical="center"/>
    </xf>
    <xf numFmtId="0" fontId="7" fillId="2" borderId="2" xfId="0" applyFont="1" applyFill="1" applyBorder="1" applyAlignment="1">
      <alignment horizontal="center" vertical="center"/>
    </xf>
    <xf numFmtId="164" fontId="7" fillId="2" borderId="2" xfId="0" applyNumberFormat="1" applyFont="1" applyFill="1" applyBorder="1" applyAlignment="1">
      <alignment horizontal="center" vertical="center"/>
    </xf>
    <xf numFmtId="164" fontId="8" fillId="2" borderId="2" xfId="0" applyNumberFormat="1" applyFont="1" applyFill="1" applyBorder="1" applyAlignment="1">
      <alignment horizontal="left" vertical="center"/>
    </xf>
    <xf numFmtId="9" fontId="7" fillId="2" borderId="2" xfId="1" applyFont="1" applyFill="1" applyBorder="1" applyAlignment="1">
      <alignment horizontal="center" vertical="center"/>
    </xf>
    <xf numFmtId="0" fontId="9" fillId="2" borderId="2" xfId="0" applyFont="1" applyFill="1" applyBorder="1" applyAlignment="1">
      <alignment horizontal="center" vertical="center"/>
    </xf>
    <xf numFmtId="0" fontId="9" fillId="2" borderId="2" xfId="0" applyFont="1" applyFill="1" applyBorder="1" applyAlignment="1">
      <alignment horizontal="left" vertical="center" indent="1"/>
    </xf>
    <xf numFmtId="0" fontId="3" fillId="0" borderId="0" xfId="2" applyAlignment="1">
      <alignment wrapText="1"/>
    </xf>
    <xf numFmtId="0" fontId="0" fillId="0" borderId="1" xfId="0" applyBorder="1" applyAlignment="1">
      <alignment vertical="center"/>
    </xf>
    <xf numFmtId="0" fontId="7" fillId="0" borderId="2" xfId="0" applyFont="1" applyBorder="1" applyAlignment="1">
      <alignment horizontal="center" vertical="center"/>
    </xf>
    <xf numFmtId="164" fontId="1" fillId="0" borderId="2" xfId="4">
      <alignment horizontal="center" vertical="center"/>
    </xf>
    <xf numFmtId="9" fontId="7" fillId="0" borderId="2" xfId="1" applyFont="1" applyBorder="1" applyAlignment="1">
      <alignment horizontal="center" vertical="center"/>
    </xf>
    <xf numFmtId="0" fontId="1" fillId="0" borderId="2" xfId="5">
      <alignment horizontal="center" vertical="center"/>
    </xf>
    <xf numFmtId="0" fontId="1" fillId="0" borderId="2" xfId="6">
      <alignment horizontal="left" vertical="center" indent="2"/>
    </xf>
    <xf numFmtId="164" fontId="1" fillId="3" borderId="2" xfId="4" applyFill="1">
      <alignment horizontal="center" vertical="center"/>
    </xf>
    <xf numFmtId="9" fontId="7" fillId="3" borderId="2" xfId="1" applyFont="1" applyFill="1" applyBorder="1" applyAlignment="1">
      <alignment horizontal="center" vertical="center"/>
    </xf>
    <xf numFmtId="0" fontId="1" fillId="3" borderId="2" xfId="5" applyFill="1">
      <alignment horizontal="center" vertical="center"/>
    </xf>
    <xf numFmtId="0" fontId="1" fillId="3" borderId="2" xfId="6" applyFill="1">
      <alignment horizontal="left" vertical="center" indent="2"/>
    </xf>
    <xf numFmtId="164" fontId="7" fillId="4" borderId="2" xfId="0" applyNumberFormat="1" applyFont="1" applyFill="1" applyBorder="1" applyAlignment="1">
      <alignment horizontal="center" vertical="center"/>
    </xf>
    <xf numFmtId="164" fontId="0" fillId="4" borderId="2" xfId="0" applyNumberFormat="1" applyFill="1" applyBorder="1" applyAlignment="1">
      <alignment horizontal="center" vertical="center"/>
    </xf>
    <xf numFmtId="9" fontId="7" fillId="4" borderId="2" xfId="1" applyFont="1" applyFill="1" applyBorder="1" applyAlignment="1">
      <alignment horizontal="center" vertical="center"/>
    </xf>
    <xf numFmtId="0" fontId="1" fillId="4" borderId="2" xfId="5" applyFill="1">
      <alignment horizontal="center" vertical="center"/>
    </xf>
    <xf numFmtId="0" fontId="2" fillId="4" borderId="2" xfId="0" applyFont="1" applyFill="1" applyBorder="1" applyAlignment="1">
      <alignment horizontal="left" vertical="center" indent="1"/>
    </xf>
    <xf numFmtId="164" fontId="1" fillId="5" borderId="2" xfId="4" applyFill="1">
      <alignment horizontal="center" vertical="center"/>
    </xf>
    <xf numFmtId="9" fontId="7" fillId="5" borderId="2" xfId="1" applyFont="1" applyFill="1" applyBorder="1" applyAlignment="1">
      <alignment horizontal="center" vertical="center"/>
    </xf>
    <xf numFmtId="0" fontId="1" fillId="5" borderId="2" xfId="5" applyFill="1">
      <alignment horizontal="center" vertical="center"/>
    </xf>
    <xf numFmtId="0" fontId="1" fillId="5" borderId="2" xfId="6" applyFill="1">
      <alignment horizontal="left" vertical="center" indent="2"/>
    </xf>
    <xf numFmtId="164" fontId="7" fillId="6" borderId="2" xfId="0" applyNumberFormat="1" applyFont="1" applyFill="1" applyBorder="1" applyAlignment="1">
      <alignment horizontal="center" vertical="center"/>
    </xf>
    <xf numFmtId="164" fontId="0" fillId="6" borderId="2" xfId="0" applyNumberFormat="1" applyFill="1" applyBorder="1" applyAlignment="1">
      <alignment horizontal="center" vertical="center"/>
    </xf>
    <xf numFmtId="9" fontId="7" fillId="6" borderId="2" xfId="1" applyFont="1" applyFill="1" applyBorder="1" applyAlignment="1">
      <alignment horizontal="center" vertical="center"/>
    </xf>
    <xf numFmtId="0" fontId="1" fillId="6" borderId="2" xfId="5" applyFill="1">
      <alignment horizontal="center" vertical="center"/>
    </xf>
    <xf numFmtId="0" fontId="2" fillId="6" borderId="2" xfId="0" applyFont="1" applyFill="1" applyBorder="1" applyAlignment="1">
      <alignment horizontal="left" vertical="center" indent="1"/>
    </xf>
    <xf numFmtId="164" fontId="1" fillId="7" borderId="2" xfId="4" applyFill="1">
      <alignment horizontal="center" vertical="center"/>
    </xf>
    <xf numFmtId="9" fontId="7" fillId="7" borderId="2" xfId="1" applyFont="1" applyFill="1" applyBorder="1" applyAlignment="1">
      <alignment horizontal="center" vertical="center"/>
    </xf>
    <xf numFmtId="0" fontId="1" fillId="7" borderId="2" xfId="5" applyFill="1">
      <alignment horizontal="center" vertical="center"/>
    </xf>
    <xf numFmtId="0" fontId="1" fillId="7" borderId="2" xfId="6" applyFill="1">
      <alignment horizontal="left" vertical="center" indent="2"/>
    </xf>
    <xf numFmtId="0" fontId="0" fillId="0" borderId="1" xfId="0" applyBorder="1" applyAlignment="1">
      <alignment horizontal="right" vertical="center"/>
    </xf>
    <xf numFmtId="164" fontId="7" fillId="8" borderId="2" xfId="0" applyNumberFormat="1" applyFont="1" applyFill="1" applyBorder="1" applyAlignment="1">
      <alignment horizontal="center" vertical="center"/>
    </xf>
    <xf numFmtId="164" fontId="0" fillId="8" borderId="2" xfId="0" applyNumberFormat="1" applyFill="1" applyBorder="1" applyAlignment="1">
      <alignment horizontal="center" vertical="center"/>
    </xf>
    <xf numFmtId="9" fontId="7" fillId="8" borderId="2" xfId="1" applyFont="1" applyFill="1" applyBorder="1" applyAlignment="1">
      <alignment horizontal="center" vertical="center"/>
    </xf>
    <xf numFmtId="0" fontId="1" fillId="8" borderId="2" xfId="5" applyFill="1">
      <alignment horizontal="center" vertical="center"/>
    </xf>
    <xf numFmtId="0" fontId="2" fillId="8" borderId="2" xfId="0" applyFont="1" applyFill="1" applyBorder="1" applyAlignment="1">
      <alignment horizontal="left" vertical="center" indent="1"/>
    </xf>
    <xf numFmtId="164" fontId="1" fillId="9" borderId="2" xfId="4" applyFill="1">
      <alignment horizontal="center" vertical="center"/>
    </xf>
    <xf numFmtId="9" fontId="7" fillId="9" borderId="2" xfId="1" applyFont="1" applyFill="1" applyBorder="1" applyAlignment="1">
      <alignment horizontal="center" vertical="center"/>
    </xf>
    <xf numFmtId="0" fontId="1" fillId="9" borderId="2" xfId="5" applyFill="1">
      <alignment horizontal="center" vertical="center"/>
    </xf>
    <xf numFmtId="164" fontId="7" fillId="10" borderId="2" xfId="0" applyNumberFormat="1" applyFont="1" applyFill="1" applyBorder="1" applyAlignment="1">
      <alignment horizontal="center" vertical="center"/>
    </xf>
    <xf numFmtId="164" fontId="0" fillId="10" borderId="2" xfId="0" applyNumberFormat="1" applyFill="1" applyBorder="1" applyAlignment="1">
      <alignment horizontal="center" vertical="center"/>
    </xf>
    <xf numFmtId="9" fontId="7" fillId="10" borderId="2" xfId="1" applyFont="1" applyFill="1" applyBorder="1" applyAlignment="1">
      <alignment horizontal="center" vertical="center"/>
    </xf>
    <xf numFmtId="0" fontId="1" fillId="10" borderId="2" xfId="5" applyFill="1">
      <alignment horizontal="center" vertical="center"/>
    </xf>
    <xf numFmtId="0" fontId="2" fillId="10" borderId="2" xfId="0" applyFont="1" applyFill="1" applyBorder="1" applyAlignment="1">
      <alignment horizontal="left" vertical="center" indent="1"/>
    </xf>
    <xf numFmtId="0" fontId="0" fillId="0" borderId="0" xfId="0" applyAlignment="1">
      <alignment wrapText="1"/>
    </xf>
    <xf numFmtId="0" fontId="10" fillId="11" borderId="3" xfId="0" applyFont="1" applyFill="1" applyBorder="1" applyAlignment="1">
      <alignment horizontal="center" vertical="center" shrinkToFit="1"/>
    </xf>
    <xf numFmtId="0" fontId="11" fillId="12" borderId="4" xfId="0" applyFont="1" applyFill="1" applyBorder="1" applyAlignment="1">
      <alignment horizontal="center" vertical="center" wrapText="1"/>
    </xf>
    <xf numFmtId="0" fontId="11" fillId="12" borderId="4" xfId="0" applyFont="1" applyFill="1" applyBorder="1" applyAlignment="1">
      <alignment horizontal="left" vertical="center" indent="1"/>
    </xf>
    <xf numFmtId="165" fontId="12" fillId="13" borderId="5" xfId="0" applyNumberFormat="1" applyFont="1" applyFill="1" applyBorder="1" applyAlignment="1">
      <alignment horizontal="center" vertical="center"/>
    </xf>
    <xf numFmtId="165" fontId="12" fillId="13" borderId="0" xfId="0" applyNumberFormat="1" applyFont="1" applyFill="1" applyAlignment="1">
      <alignment horizontal="center" vertical="center"/>
    </xf>
    <xf numFmtId="165" fontId="12" fillId="13" borderId="6" xfId="0" applyNumberFormat="1" applyFont="1" applyFill="1" applyBorder="1" applyAlignment="1">
      <alignment horizontal="center" vertical="center"/>
    </xf>
    <xf numFmtId="0" fontId="0" fillId="0" borderId="7" xfId="0" applyBorder="1"/>
    <xf numFmtId="166" fontId="0" fillId="13" borderId="8" xfId="0" applyNumberFormat="1" applyFill="1" applyBorder="1" applyAlignment="1">
      <alignment horizontal="left" vertical="center" wrapText="1" indent="1"/>
    </xf>
    <xf numFmtId="166" fontId="0" fillId="13" borderId="4" xfId="0" applyNumberFormat="1" applyFill="1" applyBorder="1" applyAlignment="1">
      <alignment horizontal="left" vertical="center" wrapText="1" indent="1"/>
    </xf>
    <xf numFmtId="166" fontId="0" fillId="13" borderId="9" xfId="0" applyNumberFormat="1" applyFill="1" applyBorder="1" applyAlignment="1">
      <alignment horizontal="left" vertical="center" wrapText="1" indent="1"/>
    </xf>
    <xf numFmtId="0" fontId="0" fillId="0" borderId="10" xfId="0" applyBorder="1" applyAlignment="1">
      <alignment horizontal="center" vertical="center"/>
    </xf>
    <xf numFmtId="0" fontId="1" fillId="0" borderId="5" xfId="7" applyBorder="1">
      <alignment horizontal="right" indent="1"/>
    </xf>
    <xf numFmtId="0" fontId="1" fillId="0" borderId="0" xfId="7">
      <alignment horizontal="right" indent="1"/>
    </xf>
    <xf numFmtId="167" fontId="1" fillId="0" borderId="10" xfId="8">
      <alignment horizontal="center" vertical="center"/>
    </xf>
    <xf numFmtId="0" fontId="13" fillId="0" borderId="0" xfId="9">
      <alignment vertical="top"/>
    </xf>
    <xf numFmtId="0" fontId="5" fillId="0" borderId="0" xfId="3" applyFont="1" applyProtection="1">
      <alignment vertical="top"/>
    </xf>
    <xf numFmtId="0" fontId="13" fillId="0" borderId="0" xfId="10"/>
    <xf numFmtId="0" fontId="14" fillId="0" borderId="0" xfId="0" applyFont="1"/>
    <xf numFmtId="0" fontId="14"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left"/>
    </xf>
    <xf numFmtId="0" fontId="16" fillId="0" borderId="0" xfId="11" applyAlignment="1">
      <alignment horizontal="left"/>
    </xf>
    <xf numFmtId="0" fontId="0" fillId="9" borderId="2" xfId="6" applyFont="1" applyFill="1">
      <alignment horizontal="left" vertical="center" indent="2"/>
    </xf>
  </cellXfs>
  <cellStyles count="12">
    <cellStyle name="Date" xfId="4"/>
    <cellStyle name="Heading 1 2" xfId="10"/>
    <cellStyle name="Heading 2 2" xfId="9"/>
    <cellStyle name="Heading 3 2" xfId="7"/>
    <cellStyle name="Hyperlink" xfId="3" builtinId="8"/>
    <cellStyle name="Name" xfId="5"/>
    <cellStyle name="Normal" xfId="0" builtinId="0"/>
    <cellStyle name="Percent" xfId="1" builtinId="5"/>
    <cellStyle name="Project Start" xfId="8"/>
    <cellStyle name="Task" xfId="6"/>
    <cellStyle name="Title 2" xfId="11"/>
    <cellStyle name="zHiddenText" xfId="2"/>
  </cellStyles>
  <dxfs count="3">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L36"/>
  <sheetViews>
    <sheetView showGridLines="0" tabSelected="1" showRuler="0" zoomScaleNormal="100" zoomScalePageLayoutView="70" workbookViewId="0">
      <pane ySplit="6" topLeftCell="A7" activePane="bottomLeft" state="frozen"/>
      <selection pane="bottomLeft" activeCell="C18" sqref="C18"/>
    </sheetView>
  </sheetViews>
  <sheetFormatPr defaultRowHeight="30" customHeight="1" x14ac:dyDescent="0.3"/>
  <cols>
    <col min="1" max="1" width="2.6640625" style="2" customWidth="1"/>
    <col min="2" max="2" width="19.88671875" customWidth="1"/>
    <col min="3" max="3" width="30.6640625" customWidth="1"/>
    <col min="4" max="4" width="10.6640625" customWidth="1"/>
    <col min="5" max="5" width="10.44140625" style="1" customWidth="1"/>
    <col min="6" max="6" width="10.44140625" customWidth="1"/>
    <col min="7" max="7" width="2.6640625" customWidth="1"/>
    <col min="8" max="8" width="6.109375" hidden="1" customWidth="1"/>
    <col min="9" max="64" width="2.5546875" customWidth="1"/>
  </cols>
  <sheetData>
    <row r="1" spans="1:64" ht="30" customHeight="1" x14ac:dyDescent="0.55000000000000004">
      <c r="A1" s="15" t="s">
        <v>35</v>
      </c>
      <c r="B1" s="80" t="s">
        <v>34</v>
      </c>
      <c r="C1" s="79"/>
      <c r="D1" s="76"/>
      <c r="E1" s="78"/>
      <c r="F1" s="77"/>
      <c r="H1" s="76"/>
      <c r="I1" s="5" t="s">
        <v>33</v>
      </c>
    </row>
    <row r="2" spans="1:64" ht="30" customHeight="1" x14ac:dyDescent="0.35">
      <c r="A2" s="2" t="s">
        <v>32</v>
      </c>
      <c r="B2" s="75" t="s">
        <v>31</v>
      </c>
      <c r="I2" s="74" t="s">
        <v>30</v>
      </c>
    </row>
    <row r="3" spans="1:64" ht="30" customHeight="1" x14ac:dyDescent="0.3">
      <c r="A3" s="2" t="s">
        <v>29</v>
      </c>
      <c r="B3" s="73" t="s">
        <v>28</v>
      </c>
      <c r="C3" s="71" t="s">
        <v>27</v>
      </c>
      <c r="D3" s="70"/>
      <c r="E3" s="72">
        <f ca="1">TODAY()</f>
        <v>46114</v>
      </c>
      <c r="F3" s="72"/>
    </row>
    <row r="4" spans="1:64" ht="30" customHeight="1" x14ac:dyDescent="0.3">
      <c r="A4" s="15" t="s">
        <v>26</v>
      </c>
      <c r="C4" s="71" t="s">
        <v>25</v>
      </c>
      <c r="D4" s="70"/>
      <c r="E4" s="69">
        <v>1</v>
      </c>
      <c r="I4" s="68">
        <f ca="1">I5</f>
        <v>46111</v>
      </c>
      <c r="J4" s="67"/>
      <c r="K4" s="67"/>
      <c r="L4" s="67"/>
      <c r="M4" s="67"/>
      <c r="N4" s="67"/>
      <c r="O4" s="66"/>
      <c r="P4" s="68">
        <f ca="1">P5</f>
        <v>46118</v>
      </c>
      <c r="Q4" s="67"/>
      <c r="R4" s="67"/>
      <c r="S4" s="67"/>
      <c r="T4" s="67"/>
      <c r="U4" s="67"/>
      <c r="V4" s="66"/>
      <c r="W4" s="68">
        <f ca="1">W5</f>
        <v>46125</v>
      </c>
      <c r="X4" s="67"/>
      <c r="Y4" s="67"/>
      <c r="Z4" s="67"/>
      <c r="AA4" s="67"/>
      <c r="AB4" s="67"/>
      <c r="AC4" s="66"/>
      <c r="AD4" s="68">
        <f ca="1">AD5</f>
        <v>46132</v>
      </c>
      <c r="AE4" s="67"/>
      <c r="AF4" s="67"/>
      <c r="AG4" s="67"/>
      <c r="AH4" s="67"/>
      <c r="AI4" s="67"/>
      <c r="AJ4" s="66"/>
      <c r="AK4" s="68">
        <f ca="1">AK5</f>
        <v>46139</v>
      </c>
      <c r="AL4" s="67"/>
      <c r="AM4" s="67"/>
      <c r="AN4" s="67"/>
      <c r="AO4" s="67"/>
      <c r="AP4" s="67"/>
      <c r="AQ4" s="66"/>
      <c r="AR4" s="68">
        <f ca="1">AR5</f>
        <v>46146</v>
      </c>
      <c r="AS4" s="67"/>
      <c r="AT4" s="67"/>
      <c r="AU4" s="67"/>
      <c r="AV4" s="67"/>
      <c r="AW4" s="67"/>
      <c r="AX4" s="66"/>
      <c r="AY4" s="68">
        <f ca="1">AY5</f>
        <v>46153</v>
      </c>
      <c r="AZ4" s="67"/>
      <c r="BA4" s="67"/>
      <c r="BB4" s="67"/>
      <c r="BC4" s="67"/>
      <c r="BD4" s="67"/>
      <c r="BE4" s="66"/>
      <c r="BF4" s="68">
        <f ca="1">BF5</f>
        <v>46160</v>
      </c>
      <c r="BG4" s="67"/>
      <c r="BH4" s="67"/>
      <c r="BI4" s="67"/>
      <c r="BJ4" s="67"/>
      <c r="BK4" s="67"/>
      <c r="BL4" s="66"/>
    </row>
    <row r="5" spans="1:64" ht="15" customHeight="1" x14ac:dyDescent="0.3">
      <c r="A5" s="15" t="s">
        <v>24</v>
      </c>
      <c r="B5" s="65"/>
      <c r="C5" s="65"/>
      <c r="D5" s="65"/>
      <c r="E5" s="65"/>
      <c r="F5" s="65"/>
      <c r="G5" s="65"/>
      <c r="I5" s="64">
        <f ca="1">Project_Start-WEEKDAY(Project_Start,1)+2+7*(Display_Week-1)</f>
        <v>46111</v>
      </c>
      <c r="J5" s="63">
        <f ca="1">I5+1</f>
        <v>46112</v>
      </c>
      <c r="K5" s="63">
        <f ca="1">J5+1</f>
        <v>46113</v>
      </c>
      <c r="L5" s="63">
        <f ca="1">K5+1</f>
        <v>46114</v>
      </c>
      <c r="M5" s="63">
        <f ca="1">L5+1</f>
        <v>46115</v>
      </c>
      <c r="N5" s="63">
        <f ca="1">M5+1</f>
        <v>46116</v>
      </c>
      <c r="O5" s="62">
        <f ca="1">N5+1</f>
        <v>46117</v>
      </c>
      <c r="P5" s="64">
        <f ca="1">O5+1</f>
        <v>46118</v>
      </c>
      <c r="Q5" s="63">
        <f ca="1">P5+1</f>
        <v>46119</v>
      </c>
      <c r="R5" s="63">
        <f ca="1">Q5+1</f>
        <v>46120</v>
      </c>
      <c r="S5" s="63">
        <f ca="1">R5+1</f>
        <v>46121</v>
      </c>
      <c r="T5" s="63">
        <f ca="1">S5+1</f>
        <v>46122</v>
      </c>
      <c r="U5" s="63">
        <f ca="1">T5+1</f>
        <v>46123</v>
      </c>
      <c r="V5" s="62">
        <f ca="1">U5+1</f>
        <v>46124</v>
      </c>
      <c r="W5" s="64">
        <f ca="1">V5+1</f>
        <v>46125</v>
      </c>
      <c r="X5" s="63">
        <f ca="1">W5+1</f>
        <v>46126</v>
      </c>
      <c r="Y5" s="63">
        <f ca="1">X5+1</f>
        <v>46127</v>
      </c>
      <c r="Z5" s="63">
        <f ca="1">Y5+1</f>
        <v>46128</v>
      </c>
      <c r="AA5" s="63">
        <f ca="1">Z5+1</f>
        <v>46129</v>
      </c>
      <c r="AB5" s="63">
        <f ca="1">AA5+1</f>
        <v>46130</v>
      </c>
      <c r="AC5" s="62">
        <f ca="1">AB5+1</f>
        <v>46131</v>
      </c>
      <c r="AD5" s="64">
        <f ca="1">AC5+1</f>
        <v>46132</v>
      </c>
      <c r="AE5" s="63">
        <f ca="1">AD5+1</f>
        <v>46133</v>
      </c>
      <c r="AF5" s="63">
        <f ca="1">AE5+1</f>
        <v>46134</v>
      </c>
      <c r="AG5" s="63">
        <f ca="1">AF5+1</f>
        <v>46135</v>
      </c>
      <c r="AH5" s="63">
        <f ca="1">AG5+1</f>
        <v>46136</v>
      </c>
      <c r="AI5" s="63">
        <f ca="1">AH5+1</f>
        <v>46137</v>
      </c>
      <c r="AJ5" s="62">
        <f ca="1">AI5+1</f>
        <v>46138</v>
      </c>
      <c r="AK5" s="64">
        <f ca="1">AJ5+1</f>
        <v>46139</v>
      </c>
      <c r="AL5" s="63">
        <f ca="1">AK5+1</f>
        <v>46140</v>
      </c>
      <c r="AM5" s="63">
        <f ca="1">AL5+1</f>
        <v>46141</v>
      </c>
      <c r="AN5" s="63">
        <f ca="1">AM5+1</f>
        <v>46142</v>
      </c>
      <c r="AO5" s="63">
        <f ca="1">AN5+1</f>
        <v>46143</v>
      </c>
      <c r="AP5" s="63">
        <f ca="1">AO5+1</f>
        <v>46144</v>
      </c>
      <c r="AQ5" s="62">
        <f ca="1">AP5+1</f>
        <v>46145</v>
      </c>
      <c r="AR5" s="64">
        <f ca="1">AQ5+1</f>
        <v>46146</v>
      </c>
      <c r="AS5" s="63">
        <f ca="1">AR5+1</f>
        <v>46147</v>
      </c>
      <c r="AT5" s="63">
        <f ca="1">AS5+1</f>
        <v>46148</v>
      </c>
      <c r="AU5" s="63">
        <f ca="1">AT5+1</f>
        <v>46149</v>
      </c>
      <c r="AV5" s="63">
        <f ca="1">AU5+1</f>
        <v>46150</v>
      </c>
      <c r="AW5" s="63">
        <f ca="1">AV5+1</f>
        <v>46151</v>
      </c>
      <c r="AX5" s="62">
        <f ca="1">AW5+1</f>
        <v>46152</v>
      </c>
      <c r="AY5" s="64">
        <f ca="1">AX5+1</f>
        <v>46153</v>
      </c>
      <c r="AZ5" s="63">
        <f ca="1">AY5+1</f>
        <v>46154</v>
      </c>
      <c r="BA5" s="63">
        <f ca="1">AZ5+1</f>
        <v>46155</v>
      </c>
      <c r="BB5" s="63">
        <f ca="1">BA5+1</f>
        <v>46156</v>
      </c>
      <c r="BC5" s="63">
        <f ca="1">BB5+1</f>
        <v>46157</v>
      </c>
      <c r="BD5" s="63">
        <f ca="1">BC5+1</f>
        <v>46158</v>
      </c>
      <c r="BE5" s="62">
        <f ca="1">BD5+1</f>
        <v>46159</v>
      </c>
      <c r="BF5" s="64">
        <f ca="1">BE5+1</f>
        <v>46160</v>
      </c>
      <c r="BG5" s="63">
        <f ca="1">BF5+1</f>
        <v>46161</v>
      </c>
      <c r="BH5" s="63">
        <f ca="1">BG5+1</f>
        <v>46162</v>
      </c>
      <c r="BI5" s="63">
        <f ca="1">BH5+1</f>
        <v>46163</v>
      </c>
      <c r="BJ5" s="63">
        <f ca="1">BI5+1</f>
        <v>46164</v>
      </c>
      <c r="BK5" s="63">
        <f ca="1">BJ5+1</f>
        <v>46165</v>
      </c>
      <c r="BL5" s="62">
        <f ca="1">BK5+1</f>
        <v>46166</v>
      </c>
    </row>
    <row r="6" spans="1:64" ht="30" customHeight="1" thickBot="1" x14ac:dyDescent="0.35">
      <c r="A6" s="15" t="s">
        <v>23</v>
      </c>
      <c r="B6" s="61" t="s">
        <v>37</v>
      </c>
      <c r="C6" s="60" t="s">
        <v>22</v>
      </c>
      <c r="D6" s="60" t="s">
        <v>21</v>
      </c>
      <c r="E6" s="60" t="s">
        <v>20</v>
      </c>
      <c r="F6" s="60" t="s">
        <v>19</v>
      </c>
      <c r="G6" s="60"/>
      <c r="H6" s="60" t="s">
        <v>18</v>
      </c>
      <c r="I6" s="59" t="str">
        <f ca="1">LEFT(TEXT(I5,"ddd"),1)</f>
        <v>M</v>
      </c>
      <c r="J6" s="59" t="str">
        <f ca="1">LEFT(TEXT(J5,"ddd"),1)</f>
        <v>T</v>
      </c>
      <c r="K6" s="59" t="str">
        <f ca="1">LEFT(TEXT(K5,"ddd"),1)</f>
        <v>W</v>
      </c>
      <c r="L6" s="59" t="str">
        <f ca="1">LEFT(TEXT(L5,"ddd"),1)</f>
        <v>T</v>
      </c>
      <c r="M6" s="59" t="str">
        <f ca="1">LEFT(TEXT(M5,"ddd"),1)</f>
        <v>F</v>
      </c>
      <c r="N6" s="59" t="str">
        <f ca="1">LEFT(TEXT(N5,"ddd"),1)</f>
        <v>S</v>
      </c>
      <c r="O6" s="59" t="str">
        <f ca="1">LEFT(TEXT(O5,"ddd"),1)</f>
        <v>S</v>
      </c>
      <c r="P6" s="59" t="str">
        <f ca="1">LEFT(TEXT(P5,"ddd"),1)</f>
        <v>M</v>
      </c>
      <c r="Q6" s="59" t="str">
        <f ca="1">LEFT(TEXT(Q5,"ddd"),1)</f>
        <v>T</v>
      </c>
      <c r="R6" s="59" t="str">
        <f ca="1">LEFT(TEXT(R5,"ddd"),1)</f>
        <v>W</v>
      </c>
      <c r="S6" s="59" t="str">
        <f ca="1">LEFT(TEXT(S5,"ddd"),1)</f>
        <v>T</v>
      </c>
      <c r="T6" s="59" t="str">
        <f ca="1">LEFT(TEXT(T5,"ddd"),1)</f>
        <v>F</v>
      </c>
      <c r="U6" s="59" t="str">
        <f ca="1">LEFT(TEXT(U5,"ddd"),1)</f>
        <v>S</v>
      </c>
      <c r="V6" s="59" t="str">
        <f ca="1">LEFT(TEXT(V5,"ddd"),1)</f>
        <v>S</v>
      </c>
      <c r="W6" s="59" t="str">
        <f ca="1">LEFT(TEXT(W5,"ddd"),1)</f>
        <v>M</v>
      </c>
      <c r="X6" s="59" t="str">
        <f ca="1">LEFT(TEXT(X5,"ddd"),1)</f>
        <v>T</v>
      </c>
      <c r="Y6" s="59" t="str">
        <f ca="1">LEFT(TEXT(Y5,"ddd"),1)</f>
        <v>W</v>
      </c>
      <c r="Z6" s="59" t="str">
        <f ca="1">LEFT(TEXT(Z5,"ddd"),1)</f>
        <v>T</v>
      </c>
      <c r="AA6" s="59" t="str">
        <f ca="1">LEFT(TEXT(AA5,"ddd"),1)</f>
        <v>F</v>
      </c>
      <c r="AB6" s="59" t="str">
        <f ca="1">LEFT(TEXT(AB5,"ddd"),1)</f>
        <v>S</v>
      </c>
      <c r="AC6" s="59" t="str">
        <f ca="1">LEFT(TEXT(AC5,"ddd"),1)</f>
        <v>S</v>
      </c>
      <c r="AD6" s="59" t="str">
        <f ca="1">LEFT(TEXT(AD5,"ddd"),1)</f>
        <v>M</v>
      </c>
      <c r="AE6" s="59" t="str">
        <f ca="1">LEFT(TEXT(AE5,"ddd"),1)</f>
        <v>T</v>
      </c>
      <c r="AF6" s="59" t="str">
        <f ca="1">LEFT(TEXT(AF5,"ddd"),1)</f>
        <v>W</v>
      </c>
      <c r="AG6" s="59" t="str">
        <f ca="1">LEFT(TEXT(AG5,"ddd"),1)</f>
        <v>T</v>
      </c>
      <c r="AH6" s="59" t="str">
        <f ca="1">LEFT(TEXT(AH5,"ddd"),1)</f>
        <v>F</v>
      </c>
      <c r="AI6" s="59" t="str">
        <f ca="1">LEFT(TEXT(AI5,"ddd"),1)</f>
        <v>S</v>
      </c>
      <c r="AJ6" s="59" t="str">
        <f ca="1">LEFT(TEXT(AJ5,"ddd"),1)</f>
        <v>S</v>
      </c>
      <c r="AK6" s="59" t="str">
        <f ca="1">LEFT(TEXT(AK5,"ddd"),1)</f>
        <v>M</v>
      </c>
      <c r="AL6" s="59" t="str">
        <f ca="1">LEFT(TEXT(AL5,"ddd"),1)</f>
        <v>T</v>
      </c>
      <c r="AM6" s="59" t="str">
        <f ca="1">LEFT(TEXT(AM5,"ddd"),1)</f>
        <v>W</v>
      </c>
      <c r="AN6" s="59" t="str">
        <f ca="1">LEFT(TEXT(AN5,"ddd"),1)</f>
        <v>T</v>
      </c>
      <c r="AO6" s="59" t="str">
        <f ca="1">LEFT(TEXT(AO5,"ddd"),1)</f>
        <v>F</v>
      </c>
      <c r="AP6" s="59" t="str">
        <f ca="1">LEFT(TEXT(AP5,"ddd"),1)</f>
        <v>S</v>
      </c>
      <c r="AQ6" s="59" t="str">
        <f ca="1">LEFT(TEXT(AQ5,"ddd"),1)</f>
        <v>S</v>
      </c>
      <c r="AR6" s="59" t="str">
        <f ca="1">LEFT(TEXT(AR5,"ddd"),1)</f>
        <v>M</v>
      </c>
      <c r="AS6" s="59" t="str">
        <f ca="1">LEFT(TEXT(AS5,"ddd"),1)</f>
        <v>T</v>
      </c>
      <c r="AT6" s="59" t="str">
        <f ca="1">LEFT(TEXT(AT5,"ddd"),1)</f>
        <v>W</v>
      </c>
      <c r="AU6" s="59" t="str">
        <f ca="1">LEFT(TEXT(AU5,"ddd"),1)</f>
        <v>T</v>
      </c>
      <c r="AV6" s="59" t="str">
        <f ca="1">LEFT(TEXT(AV5,"ddd"),1)</f>
        <v>F</v>
      </c>
      <c r="AW6" s="59" t="str">
        <f ca="1">LEFT(TEXT(AW5,"ddd"),1)</f>
        <v>S</v>
      </c>
      <c r="AX6" s="59" t="str">
        <f ca="1">LEFT(TEXT(AX5,"ddd"),1)</f>
        <v>S</v>
      </c>
      <c r="AY6" s="59" t="str">
        <f ca="1">LEFT(TEXT(AY5,"ddd"),1)</f>
        <v>M</v>
      </c>
      <c r="AZ6" s="59" t="str">
        <f ca="1">LEFT(TEXT(AZ5,"ddd"),1)</f>
        <v>T</v>
      </c>
      <c r="BA6" s="59" t="str">
        <f ca="1">LEFT(TEXT(BA5,"ddd"),1)</f>
        <v>W</v>
      </c>
      <c r="BB6" s="59" t="str">
        <f ca="1">LEFT(TEXT(BB5,"ddd"),1)</f>
        <v>T</v>
      </c>
      <c r="BC6" s="59" t="str">
        <f ca="1">LEFT(TEXT(BC5,"ddd"),1)</f>
        <v>F</v>
      </c>
      <c r="BD6" s="59" t="str">
        <f ca="1">LEFT(TEXT(BD5,"ddd"),1)</f>
        <v>S</v>
      </c>
      <c r="BE6" s="59" t="str">
        <f ca="1">LEFT(TEXT(BE5,"ddd"),1)</f>
        <v>S</v>
      </c>
      <c r="BF6" s="59" t="str">
        <f ca="1">LEFT(TEXT(BF5,"ddd"),1)</f>
        <v>M</v>
      </c>
      <c r="BG6" s="59" t="str">
        <f ca="1">LEFT(TEXT(BG5,"ddd"),1)</f>
        <v>T</v>
      </c>
      <c r="BH6" s="59" t="str">
        <f ca="1">LEFT(TEXT(BH5,"ddd"),1)</f>
        <v>W</v>
      </c>
      <c r="BI6" s="59" t="str">
        <f ca="1">LEFT(TEXT(BI5,"ddd"),1)</f>
        <v>T</v>
      </c>
      <c r="BJ6" s="59" t="str">
        <f ca="1">LEFT(TEXT(BJ5,"ddd"),1)</f>
        <v>F</v>
      </c>
      <c r="BK6" s="59" t="str">
        <f ca="1">LEFT(TEXT(BK5,"ddd"),1)</f>
        <v>S</v>
      </c>
      <c r="BL6" s="59" t="str">
        <f ca="1">LEFT(TEXT(BL5,"ddd"),1)</f>
        <v>S</v>
      </c>
    </row>
    <row r="7" spans="1:64" ht="30" hidden="1" customHeight="1" thickBot="1" x14ac:dyDescent="0.35">
      <c r="A7" s="2" t="s">
        <v>17</v>
      </c>
      <c r="C7" s="58"/>
      <c r="E7"/>
      <c r="H7" t="str">
        <f>IF(OR(ISBLANK(task_start),ISBLANK(task_end)),"",task_end-task_start+1)</f>
        <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row>
    <row r="8" spans="1:64" s="7" customFormat="1" ht="30" customHeight="1" thickBot="1" x14ac:dyDescent="0.35">
      <c r="A8" s="15" t="s">
        <v>16</v>
      </c>
      <c r="B8" s="57" t="s">
        <v>36</v>
      </c>
      <c r="C8" s="56"/>
      <c r="D8" s="55"/>
      <c r="E8" s="54"/>
      <c r="F8" s="53"/>
      <c r="G8" s="17"/>
      <c r="H8" s="17" t="str">
        <f>IF(OR(ISBLANK(task_start),ISBLANK(task_end)),"",task_end-task_start+1)</f>
        <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row>
    <row r="9" spans="1:64" s="7" customFormat="1" ht="30" customHeight="1" thickBot="1" x14ac:dyDescent="0.35">
      <c r="A9" s="15" t="s">
        <v>15</v>
      </c>
      <c r="B9" s="81" t="s">
        <v>38</v>
      </c>
      <c r="C9" s="52" t="s">
        <v>14</v>
      </c>
      <c r="D9" s="51">
        <v>0.5</v>
      </c>
      <c r="E9" s="50">
        <f ca="1">Project_Start</f>
        <v>46114</v>
      </c>
      <c r="F9" s="50">
        <f ca="1">E9+3</f>
        <v>46117</v>
      </c>
      <c r="G9" s="17"/>
      <c r="H9" s="17">
        <f ca="1">IF(OR(ISBLANK(task_start),ISBLANK(task_end)),"",task_end-task_start+1)</f>
        <v>4</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row>
    <row r="10" spans="1:64" s="7" customFormat="1" ht="30" customHeight="1" thickBot="1" x14ac:dyDescent="0.35">
      <c r="A10" s="15" t="s">
        <v>13</v>
      </c>
      <c r="B10" s="81" t="s">
        <v>39</v>
      </c>
      <c r="C10" s="52"/>
      <c r="D10" s="51">
        <v>0.6</v>
      </c>
      <c r="E10" s="50">
        <f ca="1">F9</f>
        <v>46117</v>
      </c>
      <c r="F10" s="50">
        <f ca="1">E10+2</f>
        <v>46119</v>
      </c>
      <c r="G10" s="17"/>
      <c r="H10" s="17">
        <f ca="1">IF(OR(ISBLANK(task_start),ISBLANK(task_end)),"",task_end-task_start+1)</f>
        <v>3</v>
      </c>
      <c r="I10" s="16"/>
      <c r="J10" s="16"/>
      <c r="K10" s="16"/>
      <c r="L10" s="16"/>
      <c r="M10" s="16"/>
      <c r="N10" s="16"/>
      <c r="O10" s="16"/>
      <c r="P10" s="16"/>
      <c r="Q10" s="16"/>
      <c r="R10" s="16"/>
      <c r="S10" s="16"/>
      <c r="T10" s="16"/>
      <c r="U10" s="44"/>
      <c r="V10" s="44"/>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row>
    <row r="11" spans="1:64" s="7" customFormat="1" ht="30" customHeight="1" thickBot="1" x14ac:dyDescent="0.35">
      <c r="A11" s="2"/>
      <c r="B11" s="81" t="s">
        <v>40</v>
      </c>
      <c r="C11" s="52"/>
      <c r="D11" s="51">
        <v>0.5</v>
      </c>
      <c r="E11" s="50">
        <f ca="1">F10</f>
        <v>46119</v>
      </c>
      <c r="F11" s="50">
        <f ca="1">E11+4</f>
        <v>46123</v>
      </c>
      <c r="G11" s="17"/>
      <c r="H11" s="17">
        <f ca="1">IF(OR(ISBLANK(task_start),ISBLANK(task_end)),"",task_end-task_start+1)</f>
        <v>5</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row>
    <row r="12" spans="1:64" s="7" customFormat="1" ht="30" customHeight="1" thickBot="1" x14ac:dyDescent="0.35">
      <c r="A12" s="2"/>
      <c r="B12" s="81" t="s">
        <v>43</v>
      </c>
      <c r="C12" s="52"/>
      <c r="D12" s="51">
        <v>0.25</v>
      </c>
      <c r="E12" s="50">
        <f ca="1">F11</f>
        <v>46123</v>
      </c>
      <c r="F12" s="50">
        <f ca="1">E12+5</f>
        <v>46128</v>
      </c>
      <c r="G12" s="17"/>
      <c r="H12" s="17">
        <f ca="1">IF(OR(ISBLANK(task_start),ISBLANK(task_end)),"",task_end-task_start+1)</f>
        <v>6</v>
      </c>
      <c r="I12" s="16"/>
      <c r="J12" s="16"/>
      <c r="K12" s="16"/>
      <c r="L12" s="16"/>
      <c r="M12" s="16"/>
      <c r="N12" s="16"/>
      <c r="O12" s="16"/>
      <c r="P12" s="16"/>
      <c r="Q12" s="16"/>
      <c r="R12" s="16"/>
      <c r="S12" s="16"/>
      <c r="T12" s="16"/>
      <c r="U12" s="16"/>
      <c r="V12" s="16"/>
      <c r="W12" s="16"/>
      <c r="X12" s="16"/>
      <c r="Y12" s="44"/>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row>
    <row r="13" spans="1:64" s="7" customFormat="1" ht="30" customHeight="1" thickBot="1" x14ac:dyDescent="0.35">
      <c r="A13" s="2"/>
      <c r="B13" s="81" t="s">
        <v>42</v>
      </c>
      <c r="C13" s="52"/>
      <c r="D13" s="51"/>
      <c r="E13" s="50">
        <f ca="1">E10+1</f>
        <v>46118</v>
      </c>
      <c r="F13" s="50">
        <f ca="1">E13+2</f>
        <v>46120</v>
      </c>
      <c r="G13" s="17"/>
      <c r="H13" s="17">
        <f ca="1">IF(OR(ISBLANK(task_start),ISBLANK(task_end)),"",task_end-task_start+1)</f>
        <v>3</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row>
    <row r="14" spans="1:64" s="7" customFormat="1" ht="30" customHeight="1" thickBot="1" x14ac:dyDescent="0.35">
      <c r="A14" s="15" t="s">
        <v>12</v>
      </c>
      <c r="B14" s="49" t="s">
        <v>41</v>
      </c>
      <c r="C14" s="48"/>
      <c r="D14" s="47"/>
      <c r="E14" s="46"/>
      <c r="F14" s="45"/>
      <c r="G14" s="17"/>
      <c r="H14" s="17" t="str">
        <f>IF(OR(ISBLANK(task_start),ISBLANK(task_end)),"",task_end-task_start+1)</f>
        <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row>
    <row r="15" spans="1:64" s="7" customFormat="1" ht="30" customHeight="1" thickBot="1" x14ac:dyDescent="0.35">
      <c r="A15" s="15"/>
      <c r="B15" s="43"/>
      <c r="C15" s="42"/>
      <c r="D15" s="41">
        <v>0.5</v>
      </c>
      <c r="E15" s="40">
        <f ca="1">E13+1</f>
        <v>46119</v>
      </c>
      <c r="F15" s="40">
        <f ca="1">E15+4</f>
        <v>46123</v>
      </c>
      <c r="G15" s="17"/>
      <c r="H15" s="17">
        <f ca="1">IF(OR(ISBLANK(task_start),ISBLANK(task_end)),"",task_end-task_start+1)</f>
        <v>5</v>
      </c>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row>
    <row r="16" spans="1:64" s="7" customFormat="1" ht="30" customHeight="1" thickBot="1" x14ac:dyDescent="0.35">
      <c r="A16" s="2"/>
      <c r="B16" s="43" t="s">
        <v>7</v>
      </c>
      <c r="C16" s="42"/>
      <c r="D16" s="41">
        <v>0.5</v>
      </c>
      <c r="E16" s="40">
        <f ca="1">E15+2</f>
        <v>46121</v>
      </c>
      <c r="F16" s="40">
        <f ca="1">E16+5</f>
        <v>46126</v>
      </c>
      <c r="G16" s="17"/>
      <c r="H16" s="17">
        <f ca="1">IF(OR(ISBLANK(task_start),ISBLANK(task_end)),"",task_end-task_start+1)</f>
        <v>6</v>
      </c>
      <c r="I16" s="16"/>
      <c r="J16" s="16"/>
      <c r="K16" s="16"/>
      <c r="L16" s="16"/>
      <c r="M16" s="16"/>
      <c r="N16" s="16"/>
      <c r="O16" s="16"/>
      <c r="P16" s="16"/>
      <c r="Q16" s="16"/>
      <c r="R16" s="16"/>
      <c r="S16" s="16"/>
      <c r="T16" s="16"/>
      <c r="U16" s="44"/>
      <c r="V16" s="44"/>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row>
    <row r="17" spans="1:64" s="7" customFormat="1" ht="30" customHeight="1" thickBot="1" x14ac:dyDescent="0.35">
      <c r="A17" s="2"/>
      <c r="B17" s="43" t="s">
        <v>6</v>
      </c>
      <c r="C17" s="42"/>
      <c r="D17" s="41"/>
      <c r="E17" s="40">
        <f ca="1">F16</f>
        <v>46126</v>
      </c>
      <c r="F17" s="40">
        <f ca="1">E17+3</f>
        <v>46129</v>
      </c>
      <c r="G17" s="17"/>
      <c r="H17" s="17">
        <f ca="1">IF(OR(ISBLANK(task_start),ISBLANK(task_end)),"",task_end-task_start+1)</f>
        <v>4</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row>
    <row r="18" spans="1:64" s="7" customFormat="1" ht="30" customHeight="1" thickBot="1" x14ac:dyDescent="0.35">
      <c r="A18" s="2"/>
      <c r="B18" s="43" t="s">
        <v>5</v>
      </c>
      <c r="C18" s="42"/>
      <c r="D18" s="41"/>
      <c r="E18" s="40">
        <f ca="1">E17</f>
        <v>46126</v>
      </c>
      <c r="F18" s="40">
        <f ca="1">E18+2</f>
        <v>46128</v>
      </c>
      <c r="G18" s="17"/>
      <c r="H18" s="17">
        <f ca="1">IF(OR(ISBLANK(task_start),ISBLANK(task_end)),"",task_end-task_start+1)</f>
        <v>3</v>
      </c>
      <c r="I18" s="16"/>
      <c r="J18" s="16"/>
      <c r="K18" s="16"/>
      <c r="L18" s="16"/>
      <c r="M18" s="16"/>
      <c r="N18" s="16"/>
      <c r="O18" s="16"/>
      <c r="P18" s="16"/>
      <c r="Q18" s="16"/>
      <c r="R18" s="16"/>
      <c r="S18" s="16"/>
      <c r="T18" s="16"/>
      <c r="U18" s="16"/>
      <c r="V18" s="16"/>
      <c r="W18" s="16"/>
      <c r="X18" s="16"/>
      <c r="Y18" s="44"/>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row>
    <row r="19" spans="1:64" s="7" customFormat="1" ht="30" customHeight="1" thickBot="1" x14ac:dyDescent="0.35">
      <c r="A19" s="2"/>
      <c r="B19" s="43" t="s">
        <v>4</v>
      </c>
      <c r="C19" s="42"/>
      <c r="D19" s="41"/>
      <c r="E19" s="40">
        <f ca="1">E18</f>
        <v>46126</v>
      </c>
      <c r="F19" s="40">
        <f ca="1">E19+3</f>
        <v>46129</v>
      </c>
      <c r="G19" s="17"/>
      <c r="H19" s="17">
        <f ca="1">IF(OR(ISBLANK(task_start),ISBLANK(task_end)),"",task_end-task_start+1)</f>
        <v>4</v>
      </c>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row>
    <row r="20" spans="1:64" s="7" customFormat="1" ht="30" customHeight="1" thickBot="1" x14ac:dyDescent="0.35">
      <c r="A20" s="2" t="s">
        <v>10</v>
      </c>
      <c r="B20" s="39" t="s">
        <v>11</v>
      </c>
      <c r="C20" s="38"/>
      <c r="D20" s="37"/>
      <c r="E20" s="36"/>
      <c r="F20" s="35"/>
      <c r="G20" s="17"/>
      <c r="H20" s="17" t="str">
        <f>IF(OR(ISBLANK(task_start),ISBLANK(task_end)),"",task_end-task_start+1)</f>
        <v/>
      </c>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row>
    <row r="21" spans="1:64" s="7" customFormat="1" ht="30" customHeight="1" thickBot="1" x14ac:dyDescent="0.35">
      <c r="A21" s="2"/>
      <c r="B21" s="34" t="s">
        <v>8</v>
      </c>
      <c r="C21" s="33"/>
      <c r="D21" s="32"/>
      <c r="E21" s="31">
        <f ca="1">E9+15</f>
        <v>46129</v>
      </c>
      <c r="F21" s="31">
        <f ca="1">E21+5</f>
        <v>46134</v>
      </c>
      <c r="G21" s="17"/>
      <c r="H21" s="17">
        <f ca="1">IF(OR(ISBLANK(task_start),ISBLANK(task_end)),"",task_end-task_start+1)</f>
        <v>6</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row>
    <row r="22" spans="1:64" s="7" customFormat="1" ht="30" customHeight="1" thickBot="1" x14ac:dyDescent="0.35">
      <c r="A22" s="2"/>
      <c r="B22" s="34" t="s">
        <v>7</v>
      </c>
      <c r="C22" s="33"/>
      <c r="D22" s="32"/>
      <c r="E22" s="31">
        <f ca="1">F21+1</f>
        <v>46135</v>
      </c>
      <c r="F22" s="31">
        <f ca="1">E22+4</f>
        <v>46139</v>
      </c>
      <c r="G22" s="17"/>
      <c r="H22" s="17">
        <f ca="1">IF(OR(ISBLANK(task_start),ISBLANK(task_end)),"",task_end-task_start+1)</f>
        <v>5</v>
      </c>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row>
    <row r="23" spans="1:64" s="7" customFormat="1" ht="30" customHeight="1" thickBot="1" x14ac:dyDescent="0.35">
      <c r="A23" s="2"/>
      <c r="B23" s="34" t="s">
        <v>6</v>
      </c>
      <c r="C23" s="33"/>
      <c r="D23" s="32"/>
      <c r="E23" s="31">
        <f ca="1">E22+5</f>
        <v>46140</v>
      </c>
      <c r="F23" s="31">
        <f ca="1">E23+5</f>
        <v>46145</v>
      </c>
      <c r="G23" s="17"/>
      <c r="H23" s="17">
        <f ca="1">IF(OR(ISBLANK(task_start),ISBLANK(task_end)),"",task_end-task_start+1)</f>
        <v>6</v>
      </c>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row>
    <row r="24" spans="1:64" s="7" customFormat="1" ht="30" customHeight="1" thickBot="1" x14ac:dyDescent="0.35">
      <c r="A24" s="2"/>
      <c r="B24" s="34" t="s">
        <v>5</v>
      </c>
      <c r="C24" s="33"/>
      <c r="D24" s="32"/>
      <c r="E24" s="31">
        <f ca="1">F23+1</f>
        <v>46146</v>
      </c>
      <c r="F24" s="31">
        <f ca="1">E24+4</f>
        <v>46150</v>
      </c>
      <c r="G24" s="17"/>
      <c r="H24" s="17">
        <f ca="1">IF(OR(ISBLANK(task_start),ISBLANK(task_end)),"",task_end-task_start+1)</f>
        <v>5</v>
      </c>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row>
    <row r="25" spans="1:64" s="7" customFormat="1" ht="30" customHeight="1" thickBot="1" x14ac:dyDescent="0.35">
      <c r="A25" s="2"/>
      <c r="B25" s="34" t="s">
        <v>4</v>
      </c>
      <c r="C25" s="33"/>
      <c r="D25" s="32"/>
      <c r="E25" s="31">
        <f ca="1">E23</f>
        <v>46140</v>
      </c>
      <c r="F25" s="31">
        <f ca="1">E25+4</f>
        <v>46144</v>
      </c>
      <c r="G25" s="17"/>
      <c r="H25" s="17">
        <f ca="1">IF(OR(ISBLANK(task_start),ISBLANK(task_end)),"",task_end-task_start+1)</f>
        <v>5</v>
      </c>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row>
    <row r="26" spans="1:64" s="7" customFormat="1" ht="30" customHeight="1" thickBot="1" x14ac:dyDescent="0.35">
      <c r="A26" s="2" t="s">
        <v>10</v>
      </c>
      <c r="B26" s="30" t="s">
        <v>9</v>
      </c>
      <c r="C26" s="29"/>
      <c r="D26" s="28"/>
      <c r="E26" s="27"/>
      <c r="F26" s="26"/>
      <c r="G26" s="17"/>
      <c r="H26" s="17" t="str">
        <f>IF(OR(ISBLANK(task_start),ISBLANK(task_end)),"",task_end-task_start+1)</f>
        <v/>
      </c>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row>
    <row r="27" spans="1:64" s="7" customFormat="1" ht="30" customHeight="1" thickBot="1" x14ac:dyDescent="0.35">
      <c r="A27" s="2"/>
      <c r="B27" s="25" t="s">
        <v>8</v>
      </c>
      <c r="C27" s="24"/>
      <c r="D27" s="23"/>
      <c r="E27" s="22" t="s">
        <v>3</v>
      </c>
      <c r="F27" s="22" t="s">
        <v>3</v>
      </c>
      <c r="G27" s="17"/>
      <c r="H27" s="17" t="e">
        <f>IF(OR(ISBLANK(task_start),ISBLANK(task_end)),"",task_end-task_start+1)</f>
        <v>#VALUE!</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row>
    <row r="28" spans="1:64" s="7" customFormat="1" ht="30" customHeight="1" thickBot="1" x14ac:dyDescent="0.35">
      <c r="A28" s="2"/>
      <c r="B28" s="25" t="s">
        <v>7</v>
      </c>
      <c r="C28" s="24"/>
      <c r="D28" s="23"/>
      <c r="E28" s="22" t="s">
        <v>3</v>
      </c>
      <c r="F28" s="22" t="s">
        <v>3</v>
      </c>
      <c r="G28" s="17"/>
      <c r="H28" s="17" t="e">
        <f>IF(OR(ISBLANK(task_start),ISBLANK(task_end)),"",task_end-task_start+1)</f>
        <v>#VALUE!</v>
      </c>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row>
    <row r="29" spans="1:64" s="7" customFormat="1" ht="30" customHeight="1" thickBot="1" x14ac:dyDescent="0.35">
      <c r="A29" s="2"/>
      <c r="B29" s="25" t="s">
        <v>6</v>
      </c>
      <c r="C29" s="24"/>
      <c r="D29" s="23"/>
      <c r="E29" s="22" t="s">
        <v>3</v>
      </c>
      <c r="F29" s="22" t="s">
        <v>3</v>
      </c>
      <c r="G29" s="17"/>
      <c r="H29" s="17" t="e">
        <f>IF(OR(ISBLANK(task_start),ISBLANK(task_end)),"",task_end-task_start+1)</f>
        <v>#VALUE!</v>
      </c>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row>
    <row r="30" spans="1:64" s="7" customFormat="1" ht="30" customHeight="1" thickBot="1" x14ac:dyDescent="0.35">
      <c r="A30" s="2"/>
      <c r="B30" s="25" t="s">
        <v>5</v>
      </c>
      <c r="C30" s="24"/>
      <c r="D30" s="23"/>
      <c r="E30" s="22" t="s">
        <v>3</v>
      </c>
      <c r="F30" s="22" t="s">
        <v>3</v>
      </c>
      <c r="G30" s="17"/>
      <c r="H30" s="17" t="e">
        <f>IF(OR(ISBLANK(task_start),ISBLANK(task_end)),"",task_end-task_start+1)</f>
        <v>#VALUE!</v>
      </c>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row>
    <row r="31" spans="1:64" s="7" customFormat="1" ht="30" customHeight="1" thickBot="1" x14ac:dyDescent="0.35">
      <c r="A31" s="2"/>
      <c r="B31" s="25" t="s">
        <v>4</v>
      </c>
      <c r="C31" s="24"/>
      <c r="D31" s="23"/>
      <c r="E31" s="22" t="s">
        <v>3</v>
      </c>
      <c r="F31" s="22" t="s">
        <v>3</v>
      </c>
      <c r="G31" s="17"/>
      <c r="H31" s="17" t="e">
        <f>IF(OR(ISBLANK(task_start),ISBLANK(task_end)),"",task_end-task_start+1)</f>
        <v>#VALUE!</v>
      </c>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row>
    <row r="32" spans="1:64" s="7" customFormat="1" ht="30" customHeight="1" thickBot="1" x14ac:dyDescent="0.35">
      <c r="A32" s="2" t="s">
        <v>2</v>
      </c>
      <c r="B32" s="21"/>
      <c r="C32" s="20"/>
      <c r="D32" s="19"/>
      <c r="E32" s="18"/>
      <c r="F32" s="18"/>
      <c r="G32" s="17"/>
      <c r="H32" s="17" t="str">
        <f>IF(OR(ISBLANK(task_start),ISBLANK(task_end)),"",task_end-task_start+1)</f>
        <v/>
      </c>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row>
    <row r="33" spans="1:64" s="7" customFormat="1" ht="30" customHeight="1" thickBot="1" x14ac:dyDescent="0.35">
      <c r="A33" s="15" t="s">
        <v>1</v>
      </c>
      <c r="B33" s="14" t="s">
        <v>0</v>
      </c>
      <c r="C33" s="13"/>
      <c r="D33" s="12"/>
      <c r="E33" s="11"/>
      <c r="F33" s="10"/>
      <c r="G33" s="9"/>
      <c r="H33" s="9" t="str">
        <f>IF(OR(ISBLANK(task_start),ISBLANK(task_end)),"",task_end-task_start+1)</f>
        <v/>
      </c>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row>
    <row r="34" spans="1:64" ht="30" customHeight="1" x14ac:dyDescent="0.3">
      <c r="G34" s="6"/>
    </row>
    <row r="35" spans="1:64" ht="30" customHeight="1" x14ac:dyDescent="0.3">
      <c r="C35" s="5"/>
      <c r="F35" s="4"/>
    </row>
    <row r="36" spans="1:64" ht="30" customHeight="1" x14ac:dyDescent="0.3">
      <c r="C36" s="3"/>
    </row>
  </sheetData>
  <mergeCells count="12">
    <mergeCell ref="BF4:BL4"/>
    <mergeCell ref="E3:F3"/>
    <mergeCell ref="I4:O4"/>
    <mergeCell ref="P4:V4"/>
    <mergeCell ref="W4:AC4"/>
    <mergeCell ref="AD4:AJ4"/>
    <mergeCell ref="C3:D3"/>
    <mergeCell ref="C4:D4"/>
    <mergeCell ref="B5:G5"/>
    <mergeCell ref="AK4:AQ4"/>
    <mergeCell ref="AR4:AX4"/>
    <mergeCell ref="AY4:BE4"/>
  </mergeCells>
  <conditionalFormatting sqref="D7:D33">
    <cfRule type="dataBar" priority="1">
      <dataBar>
        <cfvo type="num" val="0"/>
        <cfvo type="num" val="1"/>
        <color theme="0" tint="-0.249977111117893"/>
      </dataBar>
      <extLst>
        <ext xmlns:x14="http://schemas.microsoft.com/office/spreadsheetml/2009/9/main" uri="{B025F937-C7B1-47D3-B67F-A62EFF666E3E}">
          <x14:id>{789A3CC6-24BB-4EE4-9F28-331EB91D5211}</x14:id>
        </ext>
      </extLst>
    </cfRule>
  </conditionalFormatting>
  <conditionalFormatting sqref="I5:BL33">
    <cfRule type="expression" dxfId="2" priority="4">
      <formula>AND(TODAY()&gt;=I$5,TODAY()&lt;J$5)</formula>
    </cfRule>
  </conditionalFormatting>
  <conditionalFormatting sqref="I7:BL33">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formula1>1</formula1>
    </dataValidation>
  </dataValidations>
  <hyperlinks>
    <hyperlink ref="I2" r:id="rId1"/>
    <hyperlink ref="I1" r:id="rId2"/>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89A3CC6-24BB-4EE4-9F28-331EB91D5211}">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ProjectSchedule</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2026-03-24T12:30:33Z</dcterms:created>
  <dcterms:modified xsi:type="dcterms:W3CDTF">2026-04-02T07:05:29Z</dcterms:modified>
</cp:coreProperties>
</file>